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yuchen/Documents/Code/UW/spu-uw-ghg-proj/Backend_local/data/raw/CONSUMPTION/"/>
    </mc:Choice>
  </mc:AlternateContent>
  <xr:revisionPtr revIDLastSave="0" documentId="13_ncr:1_{B82D1AE5-9DCF-1F4F-8953-54F7C5E695AB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</calcChain>
</file>

<file path=xl/sharedStrings.xml><?xml version="1.0" encoding="utf-8"?>
<sst xmlns="http://schemas.openxmlformats.org/spreadsheetml/2006/main" count="176" uniqueCount="74">
  <si>
    <t>ACCT_ID</t>
  </si>
  <si>
    <t>BP</t>
  </si>
  <si>
    <t>Customer</t>
  </si>
  <si>
    <t>Meter</t>
  </si>
  <si>
    <t>Rate</t>
  </si>
  <si>
    <t>StartDate</t>
  </si>
  <si>
    <t>EndDate</t>
  </si>
  <si>
    <t>THM</t>
  </si>
  <si>
    <t>KWH</t>
  </si>
  <si>
    <t>KW</t>
  </si>
  <si>
    <t>KVH</t>
  </si>
  <si>
    <t>Billed</t>
  </si>
  <si>
    <t>OrigConsumption</t>
  </si>
  <si>
    <t>Unit</t>
  </si>
  <si>
    <t>DaysInBill</t>
  </si>
  <si>
    <t>AvgPerDay</t>
  </si>
  <si>
    <t>InvYear</t>
  </si>
  <si>
    <t>EF_ID</t>
  </si>
  <si>
    <t>200003770308</t>
  </si>
  <si>
    <t>SEATTLE PUBLIC UTILITIES</t>
  </si>
  <si>
    <t>MTR-1000</t>
  </si>
  <si>
    <t>SCH_31EC</t>
  </si>
  <si>
    <t>01/01/22</t>
  </si>
  <si>
    <t>01/31/22</t>
  </si>
  <si>
    <t>200003770309</t>
  </si>
  <si>
    <t>MTR-1001</t>
  </si>
  <si>
    <t>SCH_24R</t>
  </si>
  <si>
    <t>02/01/22</t>
  </si>
  <si>
    <t>02/28/22</t>
  </si>
  <si>
    <t>200004120115</t>
  </si>
  <si>
    <t>MTR-1002</t>
  </si>
  <si>
    <t>03/01/22</t>
  </si>
  <si>
    <t>03/31/22</t>
  </si>
  <si>
    <t>200004120116</t>
  </si>
  <si>
    <t>MTR-1003</t>
  </si>
  <si>
    <t>SCH_7R</t>
  </si>
  <si>
    <t>04/01/22</t>
  </si>
  <si>
    <t>04/30/22</t>
  </si>
  <si>
    <t>200005880220</t>
  </si>
  <si>
    <t>MTR-1004</t>
  </si>
  <si>
    <t>05/01/22</t>
  </si>
  <si>
    <t>05/31/22</t>
  </si>
  <si>
    <t>MTR-1005</t>
  </si>
  <si>
    <t>06/01/22</t>
  </si>
  <si>
    <t>06/30/22</t>
  </si>
  <si>
    <t>MTR-1006</t>
  </si>
  <si>
    <t>07/01/22</t>
  </si>
  <si>
    <t>07/31/22</t>
  </si>
  <si>
    <t>MTR-1007</t>
  </si>
  <si>
    <t>08/01/22</t>
  </si>
  <si>
    <t>08/31/22</t>
  </si>
  <si>
    <t>MTR-1008</t>
  </si>
  <si>
    <t>09/01/22</t>
  </si>
  <si>
    <t>09/30/22</t>
  </si>
  <si>
    <t>MTR-1009</t>
  </si>
  <si>
    <t>10/01/22</t>
  </si>
  <si>
    <t>10/31/22</t>
  </si>
  <si>
    <t>MTR-1010</t>
  </si>
  <si>
    <t>MTR-1011</t>
  </si>
  <si>
    <t>12/01/22</t>
  </si>
  <si>
    <t>12/31/22</t>
  </si>
  <si>
    <t>MTR-1012</t>
  </si>
  <si>
    <t>MTR-1013</t>
  </si>
  <si>
    <t>MTR-1014</t>
  </si>
  <si>
    <t>MTR-1015</t>
  </si>
  <si>
    <t>MTR-1016</t>
  </si>
  <si>
    <t>MTR-1017</t>
  </si>
  <si>
    <t>MTR-1018</t>
  </si>
  <si>
    <t>MTR-1019</t>
  </si>
  <si>
    <t>ConsPorated</t>
  </si>
  <si>
    <t>03/31/21</t>
  </si>
  <si>
    <t>04/30/21</t>
  </si>
  <si>
    <t>11/30/21</t>
  </si>
  <si>
    <t>Elec_PSE_2022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</si>
</sst>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S3" sqref="S3"/>
    </sheetView>
  </sheetViews>
  <sheetFormatPr baseColWidth="10" defaultColWidth="8.83203125" defaultRowHeight="15" x14ac:dyDescent="0.2"/>
  <cols>
    <col min="1" max="1" width="15.6640625" customWidth="1"/>
    <col min="2" max="2" width="13.83203125" customWidth="1"/>
    <col min="6" max="6" width="9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69</v>
      </c>
      <c r="Q1" s="1" t="s">
        <v>15</v>
      </c>
      <c r="R1" s="1" t="s">
        <v>16</v>
      </c>
      <c r="S1" s="1" t="s">
        <v>17</v>
      </c>
    </row>
    <row r="2" spans="1:19" x14ac:dyDescent="0.2">
      <c r="A2" t="s">
        <v>18</v>
      </c>
      <c r="B2">
        <v>1000456035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475.36</v>
      </c>
      <c r="I2">
        <v>330905.09000000003</v>
      </c>
      <c r="J2">
        <v>489.24</v>
      </c>
      <c r="K2">
        <v>0</v>
      </c>
      <c r="L2">
        <v>28126.93</v>
      </c>
      <c r="M2">
        <v>330905.09000000003</v>
      </c>
      <c r="N2" t="s">
        <v>8</v>
      </c>
      <c r="O2">
        <v>31</v>
      </c>
      <c r="P2">
        <f>O2*Q2</f>
        <v>330905.16000000003</v>
      </c>
      <c r="Q2">
        <v>10674.36</v>
      </c>
      <c r="R2">
        <v>2022</v>
      </c>
      <c r="S2" t="s">
        <v>73</v>
      </c>
    </row>
    <row r="3" spans="1:19" x14ac:dyDescent="0.2">
      <c r="A3" t="s">
        <v>24</v>
      </c>
      <c r="B3">
        <v>1000456036</v>
      </c>
      <c r="C3" t="s">
        <v>19</v>
      </c>
      <c r="D3" t="s">
        <v>25</v>
      </c>
      <c r="E3" t="s">
        <v>26</v>
      </c>
      <c r="F3" t="s">
        <v>27</v>
      </c>
      <c r="G3" t="s">
        <v>28</v>
      </c>
      <c r="H3">
        <v>0</v>
      </c>
      <c r="I3">
        <v>598995.46</v>
      </c>
      <c r="J3">
        <v>980.5</v>
      </c>
      <c r="K3">
        <v>0</v>
      </c>
      <c r="L3">
        <v>50914.61</v>
      </c>
      <c r="M3">
        <v>598995.46</v>
      </c>
      <c r="N3" t="s">
        <v>8</v>
      </c>
      <c r="O3">
        <v>28</v>
      </c>
      <c r="P3">
        <f t="shared" ref="P3:P21" si="0">O3*Q3</f>
        <v>598995.31999999995</v>
      </c>
      <c r="Q3">
        <v>21392.69</v>
      </c>
      <c r="R3">
        <v>2022</v>
      </c>
      <c r="S3" t="s">
        <v>73</v>
      </c>
    </row>
    <row r="4" spans="1:19" x14ac:dyDescent="0.2">
      <c r="A4" t="s">
        <v>29</v>
      </c>
      <c r="B4">
        <v>1000456037</v>
      </c>
      <c r="C4" t="s">
        <v>19</v>
      </c>
      <c r="D4" t="s">
        <v>30</v>
      </c>
      <c r="E4" t="s">
        <v>21</v>
      </c>
      <c r="F4" s="2">
        <v>37642</v>
      </c>
      <c r="G4" t="s">
        <v>70</v>
      </c>
      <c r="H4">
        <v>0</v>
      </c>
      <c r="I4">
        <v>498993.86</v>
      </c>
      <c r="J4">
        <v>737.76</v>
      </c>
      <c r="K4">
        <v>0</v>
      </c>
      <c r="L4">
        <v>42414.48</v>
      </c>
      <c r="M4">
        <v>498993.86</v>
      </c>
      <c r="N4" t="s">
        <v>8</v>
      </c>
      <c r="O4">
        <v>31</v>
      </c>
      <c r="P4">
        <f t="shared" si="0"/>
        <v>498993.98</v>
      </c>
      <c r="Q4">
        <v>16096.58</v>
      </c>
      <c r="R4">
        <v>2021</v>
      </c>
      <c r="S4" t="s">
        <v>73</v>
      </c>
    </row>
    <row r="5" spans="1:19" x14ac:dyDescent="0.2">
      <c r="A5" t="s">
        <v>33</v>
      </c>
      <c r="B5">
        <v>1000456038</v>
      </c>
      <c r="C5" t="s">
        <v>19</v>
      </c>
      <c r="D5" t="s">
        <v>34</v>
      </c>
      <c r="E5" t="s">
        <v>35</v>
      </c>
      <c r="F5" s="2">
        <v>38007</v>
      </c>
      <c r="G5" t="s">
        <v>71</v>
      </c>
      <c r="H5">
        <v>78</v>
      </c>
      <c r="I5">
        <v>167013.98000000001</v>
      </c>
      <c r="J5">
        <v>255.16</v>
      </c>
      <c r="K5">
        <v>0</v>
      </c>
      <c r="L5">
        <v>14196.19</v>
      </c>
      <c r="M5">
        <v>167013.98000000001</v>
      </c>
      <c r="N5" t="s">
        <v>8</v>
      </c>
      <c r="O5">
        <v>30</v>
      </c>
      <c r="P5">
        <f t="shared" si="0"/>
        <v>167013.9</v>
      </c>
      <c r="Q5">
        <v>5567.13</v>
      </c>
      <c r="R5">
        <v>2021</v>
      </c>
      <c r="S5" t="s">
        <v>73</v>
      </c>
    </row>
    <row r="6" spans="1:19" x14ac:dyDescent="0.2">
      <c r="A6" t="s">
        <v>38</v>
      </c>
      <c r="B6">
        <v>1000456039</v>
      </c>
      <c r="C6" t="s">
        <v>19</v>
      </c>
      <c r="D6" t="s">
        <v>39</v>
      </c>
      <c r="E6" t="s">
        <v>26</v>
      </c>
      <c r="F6" t="s">
        <v>40</v>
      </c>
      <c r="G6" t="s">
        <v>41</v>
      </c>
      <c r="H6">
        <v>0</v>
      </c>
      <c r="I6">
        <v>93562.71</v>
      </c>
      <c r="J6">
        <v>138.33000000000001</v>
      </c>
      <c r="K6">
        <v>0</v>
      </c>
      <c r="L6">
        <v>7952.83</v>
      </c>
      <c r="M6">
        <v>93562.71</v>
      </c>
      <c r="N6" t="s">
        <v>8</v>
      </c>
      <c r="O6">
        <v>31</v>
      </c>
      <c r="P6">
        <f t="shared" si="0"/>
        <v>93562.650000000009</v>
      </c>
      <c r="Q6">
        <v>3018.15</v>
      </c>
      <c r="R6">
        <v>2022</v>
      </c>
      <c r="S6" t="s">
        <v>73</v>
      </c>
    </row>
    <row r="7" spans="1:19" x14ac:dyDescent="0.2">
      <c r="A7" t="s">
        <v>18</v>
      </c>
      <c r="B7">
        <v>1000456035</v>
      </c>
      <c r="C7" t="s">
        <v>19</v>
      </c>
      <c r="D7" t="s">
        <v>42</v>
      </c>
      <c r="E7" t="s">
        <v>21</v>
      </c>
      <c r="F7" t="s">
        <v>43</v>
      </c>
      <c r="G7" t="s">
        <v>44</v>
      </c>
      <c r="H7">
        <v>300.56</v>
      </c>
      <c r="I7">
        <v>699632.11</v>
      </c>
      <c r="J7">
        <v>1068.8800000000001</v>
      </c>
      <c r="K7">
        <v>0</v>
      </c>
      <c r="L7">
        <v>59468.73</v>
      </c>
      <c r="M7">
        <v>699632.11</v>
      </c>
      <c r="N7" t="s">
        <v>8</v>
      </c>
      <c r="O7">
        <v>30</v>
      </c>
      <c r="P7">
        <f t="shared" si="0"/>
        <v>699632.1</v>
      </c>
      <c r="Q7">
        <v>23321.07</v>
      </c>
      <c r="R7">
        <v>2022</v>
      </c>
      <c r="S7" t="s">
        <v>73</v>
      </c>
    </row>
    <row r="8" spans="1:19" x14ac:dyDescent="0.2">
      <c r="A8" t="s">
        <v>24</v>
      </c>
      <c r="B8">
        <v>1000456036</v>
      </c>
      <c r="C8" t="s">
        <v>19</v>
      </c>
      <c r="D8" t="s">
        <v>45</v>
      </c>
      <c r="E8" t="s">
        <v>26</v>
      </c>
      <c r="F8" t="s">
        <v>46</v>
      </c>
      <c r="G8" t="s">
        <v>47</v>
      </c>
      <c r="H8">
        <v>0</v>
      </c>
      <c r="I8">
        <v>581054.43000000005</v>
      </c>
      <c r="J8">
        <v>859.09</v>
      </c>
      <c r="K8">
        <v>0</v>
      </c>
      <c r="L8">
        <v>49389.63</v>
      </c>
      <c r="M8">
        <v>581054.43000000005</v>
      </c>
      <c r="N8" t="s">
        <v>8</v>
      </c>
      <c r="O8">
        <v>31</v>
      </c>
      <c r="P8">
        <f t="shared" si="0"/>
        <v>581054.39</v>
      </c>
      <c r="Q8">
        <v>18743.689999999999</v>
      </c>
      <c r="R8">
        <v>2022</v>
      </c>
      <c r="S8" t="s">
        <v>73</v>
      </c>
    </row>
    <row r="9" spans="1:19" x14ac:dyDescent="0.2">
      <c r="A9" t="s">
        <v>29</v>
      </c>
      <c r="B9">
        <v>1000456037</v>
      </c>
      <c r="C9" t="s">
        <v>19</v>
      </c>
      <c r="D9" t="s">
        <v>48</v>
      </c>
      <c r="E9" t="s">
        <v>21</v>
      </c>
      <c r="F9" t="s">
        <v>49</v>
      </c>
      <c r="G9" t="s">
        <v>50</v>
      </c>
      <c r="H9">
        <v>0</v>
      </c>
      <c r="I9">
        <v>65438.37</v>
      </c>
      <c r="J9">
        <v>96.75</v>
      </c>
      <c r="K9">
        <v>0</v>
      </c>
      <c r="L9">
        <v>5562.26</v>
      </c>
      <c r="M9">
        <v>65438.37</v>
      </c>
      <c r="N9" t="s">
        <v>8</v>
      </c>
      <c r="O9">
        <v>31</v>
      </c>
      <c r="P9">
        <f t="shared" si="0"/>
        <v>65438.520000000004</v>
      </c>
      <c r="Q9">
        <v>2110.92</v>
      </c>
      <c r="R9">
        <v>2022</v>
      </c>
      <c r="S9" t="s">
        <v>73</v>
      </c>
    </row>
    <row r="10" spans="1:19" x14ac:dyDescent="0.2">
      <c r="A10" t="s">
        <v>33</v>
      </c>
      <c r="B10">
        <v>1000456038</v>
      </c>
      <c r="C10" t="s">
        <v>19</v>
      </c>
      <c r="D10" t="s">
        <v>51</v>
      </c>
      <c r="E10" t="s">
        <v>35</v>
      </c>
      <c r="F10" t="s">
        <v>52</v>
      </c>
      <c r="G10" t="s">
        <v>53</v>
      </c>
      <c r="H10">
        <v>416.22</v>
      </c>
      <c r="I10">
        <v>777432.39</v>
      </c>
      <c r="J10">
        <v>1187.74</v>
      </c>
      <c r="K10">
        <v>0</v>
      </c>
      <c r="L10">
        <v>66081.75</v>
      </c>
      <c r="M10">
        <v>777432.39</v>
      </c>
      <c r="N10" t="s">
        <v>8</v>
      </c>
      <c r="O10">
        <v>30</v>
      </c>
      <c r="P10">
        <f t="shared" si="0"/>
        <v>777432.3</v>
      </c>
      <c r="Q10">
        <v>25914.41</v>
      </c>
      <c r="R10">
        <v>2022</v>
      </c>
      <c r="S10" t="s">
        <v>73</v>
      </c>
    </row>
    <row r="11" spans="1:19" x14ac:dyDescent="0.2">
      <c r="A11" t="s">
        <v>38</v>
      </c>
      <c r="B11">
        <v>1000456039</v>
      </c>
      <c r="C11" t="s">
        <v>19</v>
      </c>
      <c r="D11" t="s">
        <v>54</v>
      </c>
      <c r="E11" t="s">
        <v>26</v>
      </c>
      <c r="F11" t="s">
        <v>55</v>
      </c>
      <c r="G11" t="s">
        <v>56</v>
      </c>
      <c r="H11">
        <v>0</v>
      </c>
      <c r="I11">
        <v>209254.33</v>
      </c>
      <c r="J11">
        <v>309.38</v>
      </c>
      <c r="K11">
        <v>0</v>
      </c>
      <c r="L11">
        <v>17786.62</v>
      </c>
      <c r="M11">
        <v>209254.33</v>
      </c>
      <c r="N11" t="s">
        <v>8</v>
      </c>
      <c r="O11">
        <v>31</v>
      </c>
      <c r="P11">
        <f t="shared" si="0"/>
        <v>209254.34</v>
      </c>
      <c r="Q11">
        <v>6750.14</v>
      </c>
      <c r="R11">
        <v>2022</v>
      </c>
      <c r="S11" t="s">
        <v>73</v>
      </c>
    </row>
    <row r="12" spans="1:19" x14ac:dyDescent="0.2">
      <c r="A12" t="s">
        <v>18</v>
      </c>
      <c r="B12">
        <v>1000456035</v>
      </c>
      <c r="C12" t="s">
        <v>19</v>
      </c>
      <c r="D12" t="s">
        <v>57</v>
      </c>
      <c r="E12" t="s">
        <v>21</v>
      </c>
      <c r="F12" s="2">
        <v>40564</v>
      </c>
      <c r="G12" t="s">
        <v>72</v>
      </c>
      <c r="H12">
        <v>91.7</v>
      </c>
      <c r="I12">
        <v>186368.73</v>
      </c>
      <c r="J12">
        <v>284.73</v>
      </c>
      <c r="K12">
        <v>0</v>
      </c>
      <c r="L12">
        <v>15841.34</v>
      </c>
      <c r="M12">
        <v>186368.73</v>
      </c>
      <c r="N12" t="s">
        <v>8</v>
      </c>
      <c r="O12">
        <v>30</v>
      </c>
      <c r="P12">
        <f t="shared" si="0"/>
        <v>186368.7</v>
      </c>
      <c r="Q12">
        <v>6212.29</v>
      </c>
      <c r="R12">
        <v>2021</v>
      </c>
      <c r="S12" t="s">
        <v>73</v>
      </c>
    </row>
    <row r="13" spans="1:19" x14ac:dyDescent="0.2">
      <c r="A13" t="s">
        <v>24</v>
      </c>
      <c r="B13">
        <v>1000456036</v>
      </c>
      <c r="C13" t="s">
        <v>19</v>
      </c>
      <c r="D13" t="s">
        <v>58</v>
      </c>
      <c r="E13" t="s">
        <v>26</v>
      </c>
      <c r="F13" t="s">
        <v>59</v>
      </c>
      <c r="G13" t="s">
        <v>60</v>
      </c>
      <c r="H13">
        <v>0</v>
      </c>
      <c r="I13">
        <v>278181.68</v>
      </c>
      <c r="J13">
        <v>411.29</v>
      </c>
      <c r="K13">
        <v>0</v>
      </c>
      <c r="L13">
        <v>23645.439999999999</v>
      </c>
      <c r="M13">
        <v>278181.68</v>
      </c>
      <c r="N13" t="s">
        <v>8</v>
      </c>
      <c r="O13">
        <v>31</v>
      </c>
      <c r="P13">
        <f t="shared" si="0"/>
        <v>278181.60000000003</v>
      </c>
      <c r="Q13">
        <v>8973.6</v>
      </c>
      <c r="R13">
        <v>2022</v>
      </c>
      <c r="S13" t="s">
        <v>73</v>
      </c>
    </row>
    <row r="14" spans="1:19" x14ac:dyDescent="0.2">
      <c r="A14" t="s">
        <v>29</v>
      </c>
      <c r="B14">
        <v>1000456037</v>
      </c>
      <c r="C14" t="s">
        <v>19</v>
      </c>
      <c r="D14" t="s">
        <v>61</v>
      </c>
      <c r="E14" t="s">
        <v>21</v>
      </c>
      <c r="F14" t="s">
        <v>22</v>
      </c>
      <c r="G14" t="s">
        <v>23</v>
      </c>
      <c r="H14">
        <v>0</v>
      </c>
      <c r="I14">
        <v>443567.32</v>
      </c>
      <c r="J14">
        <v>655.81</v>
      </c>
      <c r="K14">
        <v>0</v>
      </c>
      <c r="L14">
        <v>37703.22</v>
      </c>
      <c r="M14">
        <v>443567.32</v>
      </c>
      <c r="N14" t="s">
        <v>8</v>
      </c>
      <c r="O14">
        <v>31</v>
      </c>
      <c r="P14">
        <f t="shared" si="0"/>
        <v>443567.22000000003</v>
      </c>
      <c r="Q14">
        <v>14308.62</v>
      </c>
      <c r="R14">
        <v>2022</v>
      </c>
      <c r="S14" t="s">
        <v>73</v>
      </c>
    </row>
    <row r="15" spans="1:19" x14ac:dyDescent="0.2">
      <c r="A15" t="s">
        <v>33</v>
      </c>
      <c r="B15">
        <v>1000456038</v>
      </c>
      <c r="C15" t="s">
        <v>19</v>
      </c>
      <c r="D15" t="s">
        <v>62</v>
      </c>
      <c r="E15" t="s">
        <v>35</v>
      </c>
      <c r="F15" t="s">
        <v>27</v>
      </c>
      <c r="G15" t="s">
        <v>28</v>
      </c>
      <c r="H15">
        <v>145.61000000000001</v>
      </c>
      <c r="I15">
        <v>373958.76</v>
      </c>
      <c r="J15">
        <v>612.13</v>
      </c>
      <c r="K15">
        <v>0</v>
      </c>
      <c r="L15">
        <v>31786.49</v>
      </c>
      <c r="M15">
        <v>373958.76</v>
      </c>
      <c r="N15" t="s">
        <v>8</v>
      </c>
      <c r="O15">
        <v>28</v>
      </c>
      <c r="P15">
        <f t="shared" si="0"/>
        <v>373958.76</v>
      </c>
      <c r="Q15">
        <v>13355.67</v>
      </c>
      <c r="R15">
        <v>2022</v>
      </c>
      <c r="S15" t="s">
        <v>73</v>
      </c>
    </row>
    <row r="16" spans="1:19" x14ac:dyDescent="0.2">
      <c r="A16" t="s">
        <v>38</v>
      </c>
      <c r="B16">
        <v>1000456039</v>
      </c>
      <c r="C16" t="s">
        <v>19</v>
      </c>
      <c r="D16" t="s">
        <v>63</v>
      </c>
      <c r="E16" t="s">
        <v>26</v>
      </c>
      <c r="F16" t="s">
        <v>31</v>
      </c>
      <c r="G16" t="s">
        <v>32</v>
      </c>
      <c r="H16">
        <v>0</v>
      </c>
      <c r="I16">
        <v>508889.67</v>
      </c>
      <c r="J16">
        <v>752.39</v>
      </c>
      <c r="K16">
        <v>0</v>
      </c>
      <c r="L16">
        <v>43255.62</v>
      </c>
      <c r="M16">
        <v>508889.67</v>
      </c>
      <c r="N16" t="s">
        <v>8</v>
      </c>
      <c r="O16">
        <v>31</v>
      </c>
      <c r="P16">
        <f t="shared" si="0"/>
        <v>508889.8</v>
      </c>
      <c r="Q16">
        <v>16415.8</v>
      </c>
      <c r="R16">
        <v>2022</v>
      </c>
      <c r="S16" t="s">
        <v>73</v>
      </c>
    </row>
    <row r="17" spans="1:19" x14ac:dyDescent="0.2">
      <c r="A17" t="s">
        <v>18</v>
      </c>
      <c r="B17">
        <v>1000456035</v>
      </c>
      <c r="C17" t="s">
        <v>19</v>
      </c>
      <c r="D17" t="s">
        <v>64</v>
      </c>
      <c r="E17" t="s">
        <v>21</v>
      </c>
      <c r="F17" t="s">
        <v>36</v>
      </c>
      <c r="G17" t="s">
        <v>37</v>
      </c>
      <c r="H17">
        <v>146.07</v>
      </c>
      <c r="I17">
        <v>154620.4</v>
      </c>
      <c r="J17">
        <v>236.23</v>
      </c>
      <c r="K17">
        <v>0</v>
      </c>
      <c r="L17">
        <v>13142.73</v>
      </c>
      <c r="M17">
        <v>154620.4</v>
      </c>
      <c r="N17" t="s">
        <v>8</v>
      </c>
      <c r="O17">
        <v>30</v>
      </c>
      <c r="P17">
        <f t="shared" si="0"/>
        <v>154620.30000000002</v>
      </c>
      <c r="Q17">
        <v>5154.01</v>
      </c>
      <c r="R17">
        <v>2022</v>
      </c>
      <c r="S17" t="s">
        <v>73</v>
      </c>
    </row>
    <row r="18" spans="1:19" x14ac:dyDescent="0.2">
      <c r="A18" t="s">
        <v>24</v>
      </c>
      <c r="B18">
        <v>1000456036</v>
      </c>
      <c r="C18" t="s">
        <v>19</v>
      </c>
      <c r="D18" t="s">
        <v>65</v>
      </c>
      <c r="E18" t="s">
        <v>26</v>
      </c>
      <c r="F18" t="s">
        <v>40</v>
      </c>
      <c r="G18" t="s">
        <v>41</v>
      </c>
      <c r="H18">
        <v>0</v>
      </c>
      <c r="I18">
        <v>324771.38</v>
      </c>
      <c r="J18">
        <v>480.17</v>
      </c>
      <c r="K18">
        <v>0</v>
      </c>
      <c r="L18">
        <v>27605.57</v>
      </c>
      <c r="M18">
        <v>324771.38</v>
      </c>
      <c r="N18" t="s">
        <v>8</v>
      </c>
      <c r="O18">
        <v>31</v>
      </c>
      <c r="P18">
        <f t="shared" si="0"/>
        <v>324771.5</v>
      </c>
      <c r="Q18">
        <v>10476.5</v>
      </c>
      <c r="R18">
        <v>2022</v>
      </c>
      <c r="S18" t="s">
        <v>73</v>
      </c>
    </row>
    <row r="19" spans="1:19" x14ac:dyDescent="0.2">
      <c r="A19" t="s">
        <v>29</v>
      </c>
      <c r="B19">
        <v>1000456037</v>
      </c>
      <c r="C19" t="s">
        <v>19</v>
      </c>
      <c r="D19" t="s">
        <v>66</v>
      </c>
      <c r="E19" t="s">
        <v>21</v>
      </c>
      <c r="F19" t="s">
        <v>43</v>
      </c>
      <c r="G19" t="s">
        <v>44</v>
      </c>
      <c r="H19">
        <v>0</v>
      </c>
      <c r="I19">
        <v>392052.49</v>
      </c>
      <c r="J19">
        <v>598.97</v>
      </c>
      <c r="K19">
        <v>0</v>
      </c>
      <c r="L19">
        <v>33324.46</v>
      </c>
      <c r="M19">
        <v>392052.49</v>
      </c>
      <c r="N19" t="s">
        <v>8</v>
      </c>
      <c r="O19">
        <v>30</v>
      </c>
      <c r="P19">
        <f t="shared" si="0"/>
        <v>392052.6</v>
      </c>
      <c r="Q19">
        <v>13068.42</v>
      </c>
      <c r="R19">
        <v>2022</v>
      </c>
      <c r="S19" t="s">
        <v>73</v>
      </c>
    </row>
    <row r="20" spans="1:19" x14ac:dyDescent="0.2">
      <c r="A20" t="s">
        <v>33</v>
      </c>
      <c r="B20">
        <v>1000456038</v>
      </c>
      <c r="C20" t="s">
        <v>19</v>
      </c>
      <c r="D20" t="s">
        <v>67</v>
      </c>
      <c r="E20" t="s">
        <v>35</v>
      </c>
      <c r="F20" t="s">
        <v>46</v>
      </c>
      <c r="G20" t="s">
        <v>47</v>
      </c>
      <c r="H20">
        <v>99.84</v>
      </c>
      <c r="I20">
        <v>638881.97</v>
      </c>
      <c r="J20">
        <v>944.58</v>
      </c>
      <c r="K20">
        <v>0</v>
      </c>
      <c r="L20">
        <v>54304.97</v>
      </c>
      <c r="M20">
        <v>638881.97</v>
      </c>
      <c r="N20" t="s">
        <v>8</v>
      </c>
      <c r="O20">
        <v>31</v>
      </c>
      <c r="P20">
        <f t="shared" si="0"/>
        <v>638882.1</v>
      </c>
      <c r="Q20">
        <v>20609.099999999999</v>
      </c>
      <c r="R20">
        <v>2022</v>
      </c>
      <c r="S20" t="s">
        <v>73</v>
      </c>
    </row>
    <row r="21" spans="1:19" x14ac:dyDescent="0.2">
      <c r="A21" t="s">
        <v>38</v>
      </c>
      <c r="B21">
        <v>1000456039</v>
      </c>
      <c r="C21" t="s">
        <v>19</v>
      </c>
      <c r="D21" t="s">
        <v>68</v>
      </c>
      <c r="E21" t="s">
        <v>26</v>
      </c>
      <c r="F21" t="s">
        <v>49</v>
      </c>
      <c r="G21" t="s">
        <v>50</v>
      </c>
      <c r="H21">
        <v>0</v>
      </c>
      <c r="I21">
        <v>435675.83</v>
      </c>
      <c r="J21">
        <v>644.14</v>
      </c>
      <c r="K21">
        <v>0</v>
      </c>
      <c r="L21">
        <v>37032.449999999997</v>
      </c>
      <c r="M21">
        <v>435675.83</v>
      </c>
      <c r="N21" t="s">
        <v>8</v>
      </c>
      <c r="O21">
        <v>31</v>
      </c>
      <c r="P21">
        <f t="shared" si="0"/>
        <v>435675.86</v>
      </c>
      <c r="Q21">
        <v>14054.06</v>
      </c>
      <c r="R21">
        <v>2022</v>
      </c>
      <c r="S2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Y Chen</cp:lastModifiedBy>
  <dcterms:created xsi:type="dcterms:W3CDTF">2026-02-09T23:07:51Z</dcterms:created>
  <dcterms:modified xsi:type="dcterms:W3CDTF">2026-02-10T04:16:58Z</dcterms:modified>
</cp:coreProperties>
</file>